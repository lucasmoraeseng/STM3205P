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cas\Documents\Github\STM3205P\1.Documentacao\2.Definicoes\"/>
    </mc:Choice>
  </mc:AlternateContent>
  <xr:revisionPtr revIDLastSave="0" documentId="13_ncr:1_{F866F5A2-9E69-4859-B4A0-9A81FFFEF4F7}" xr6:coauthVersionLast="47" xr6:coauthVersionMax="47" xr10:uidLastSave="{00000000-0000-0000-0000-000000000000}"/>
  <bookViews>
    <workbookView xWindow="-120" yWindow="-16320" windowWidth="29040" windowHeight="15720" xr2:uid="{F066BA17-BD8D-4BC6-8176-3EBC6E82E99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Z33" i="1"/>
  <c r="AG11" i="1"/>
  <c r="AG12" i="1"/>
  <c r="AG13" i="1"/>
  <c r="AG14" i="1"/>
  <c r="AG15" i="1"/>
  <c r="AG21" i="1"/>
  <c r="AG22" i="1"/>
  <c r="AG24" i="1"/>
  <c r="AG25" i="1"/>
  <c r="AG26" i="1"/>
  <c r="AG27" i="1"/>
  <c r="AG29" i="1"/>
  <c r="AG30" i="1"/>
  <c r="AG31" i="1"/>
  <c r="AG32" i="1"/>
  <c r="AG33" i="1"/>
  <c r="AG4" i="1"/>
  <c r="Y32" i="1"/>
  <c r="Z32" i="1"/>
  <c r="Y5" i="1"/>
  <c r="AG5" i="1" s="1"/>
  <c r="Z5" i="1"/>
  <c r="Y6" i="1"/>
  <c r="AG6" i="1" s="1"/>
  <c r="Z6" i="1"/>
  <c r="Y7" i="1"/>
  <c r="AG7" i="1" s="1"/>
  <c r="Z7" i="1"/>
  <c r="Y8" i="1"/>
  <c r="AG8" i="1" s="1"/>
  <c r="Z8" i="1"/>
  <c r="Y9" i="1"/>
  <c r="AG9" i="1" s="1"/>
  <c r="Z9" i="1"/>
  <c r="Y10" i="1"/>
  <c r="AG10" i="1" s="1"/>
  <c r="Z10" i="1"/>
  <c r="Y11" i="1"/>
  <c r="Z11" i="1"/>
  <c r="Y12" i="1"/>
  <c r="Z12" i="1"/>
  <c r="Y13" i="1"/>
  <c r="Z13" i="1"/>
  <c r="Y14" i="1"/>
  <c r="Z14" i="1"/>
  <c r="Y15" i="1"/>
  <c r="Z15" i="1"/>
  <c r="Y16" i="1"/>
  <c r="AG16" i="1" s="1"/>
  <c r="Z16" i="1"/>
  <c r="Y17" i="1"/>
  <c r="AG17" i="1" s="1"/>
  <c r="Z17" i="1"/>
  <c r="Y18" i="1"/>
  <c r="AG18" i="1" s="1"/>
  <c r="Z18" i="1"/>
  <c r="Y19" i="1"/>
  <c r="AG19" i="1" s="1"/>
  <c r="Z19" i="1"/>
  <c r="Y20" i="1"/>
  <c r="AG20" i="1" s="1"/>
  <c r="Z20" i="1"/>
  <c r="Y21" i="1"/>
  <c r="Z21" i="1"/>
  <c r="Y22" i="1"/>
  <c r="Z22" i="1"/>
  <c r="Y23" i="1"/>
  <c r="AG23" i="1" s="1"/>
  <c r="Z23" i="1"/>
  <c r="Y24" i="1"/>
  <c r="Z24" i="1"/>
  <c r="Y25" i="1"/>
  <c r="Z25" i="1"/>
  <c r="Y26" i="1"/>
  <c r="Z26" i="1"/>
  <c r="Y27" i="1"/>
  <c r="Z27" i="1"/>
  <c r="Y28" i="1"/>
  <c r="AG28" i="1" s="1"/>
  <c r="Z28" i="1"/>
  <c r="Y29" i="1"/>
  <c r="Z29" i="1"/>
  <c r="Y30" i="1"/>
  <c r="Z30" i="1"/>
  <c r="Y31" i="1"/>
  <c r="Z3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18" i="1"/>
  <c r="W18" i="1"/>
  <c r="V19" i="1"/>
  <c r="W19" i="1"/>
  <c r="V20" i="1"/>
  <c r="W20" i="1"/>
  <c r="V21" i="1"/>
  <c r="W21" i="1"/>
  <c r="Z4" i="1"/>
  <c r="Y4" i="1"/>
  <c r="W4" i="1"/>
  <c r="V4" i="1"/>
</calcChain>
</file>

<file path=xl/sharedStrings.xml><?xml version="1.0" encoding="utf-8"?>
<sst xmlns="http://schemas.openxmlformats.org/spreadsheetml/2006/main" count="212" uniqueCount="135">
  <si>
    <t>bit</t>
  </si>
  <si>
    <t>display1</t>
  </si>
  <si>
    <t>display2</t>
  </si>
  <si>
    <t>a</t>
  </si>
  <si>
    <t>b</t>
  </si>
  <si>
    <t>c</t>
  </si>
  <si>
    <t>d</t>
  </si>
  <si>
    <t>e</t>
  </si>
  <si>
    <t>f</t>
  </si>
  <si>
    <t>g</t>
  </si>
  <si>
    <t>dp</t>
  </si>
  <si>
    <t>x</t>
  </si>
  <si>
    <t>disp1</t>
  </si>
  <si>
    <t>Valor</t>
  </si>
  <si>
    <t>disp2</t>
  </si>
  <si>
    <t>Bin</t>
  </si>
  <si>
    <t>Hex</t>
  </si>
  <si>
    <t>Dec</t>
  </si>
  <si>
    <t>11111010</t>
  </si>
  <si>
    <t>00100010</t>
  </si>
  <si>
    <t xml:space="preserve"> A    </t>
  </si>
  <si>
    <t xml:space="preserve"> B    </t>
  </si>
  <si>
    <t xml:space="preserve"> C    </t>
  </si>
  <si>
    <t xml:space="preserve"> D    </t>
  </si>
  <si>
    <t xml:space="preserve"> E    </t>
  </si>
  <si>
    <t xml:space="preserve"> F    </t>
  </si>
  <si>
    <t xml:space="preserve"> H    </t>
  </si>
  <si>
    <t xml:space="preserve"> L    </t>
  </si>
  <si>
    <t xml:space="preserve"> P    </t>
  </si>
  <si>
    <t xml:space="preserve"> U    </t>
  </si>
  <si>
    <t xml:space="preserve"> n    </t>
  </si>
  <si>
    <t xml:space="preserve"> o    </t>
  </si>
  <si>
    <t xml:space="preserve"> r    </t>
  </si>
  <si>
    <t xml:space="preserve"> t    </t>
  </si>
  <si>
    <t xml:space="preserve"> y    </t>
  </si>
  <si>
    <t xml:space="preserve"> -    </t>
  </si>
  <si>
    <t xml:space="preserve"> _    </t>
  </si>
  <si>
    <t xml:space="preserve"> =    </t>
  </si>
  <si>
    <t xml:space="preserve"> °    </t>
  </si>
  <si>
    <t>abcdef</t>
  </si>
  <si>
    <t>bc</t>
  </si>
  <si>
    <t>abdeg</t>
  </si>
  <si>
    <t>abcdg</t>
  </si>
  <si>
    <t>bcfg</t>
  </si>
  <si>
    <t>acdfg</t>
  </si>
  <si>
    <t>abc</t>
  </si>
  <si>
    <t>abcdfg</t>
  </si>
  <si>
    <t>abcfeg</t>
  </si>
  <si>
    <t>cdefg</t>
  </si>
  <si>
    <t>adef</t>
  </si>
  <si>
    <t>adefg</t>
  </si>
  <si>
    <t>aefg</t>
  </si>
  <si>
    <t>bcefg</t>
  </si>
  <si>
    <t>def</t>
  </si>
  <si>
    <t>abefg</t>
  </si>
  <si>
    <t>bcdef</t>
  </si>
  <si>
    <t>ceg</t>
  </si>
  <si>
    <t>cdeg</t>
  </si>
  <si>
    <t>eg</t>
  </si>
  <si>
    <t>defg</t>
  </si>
  <si>
    <t>bcdfg</t>
  </si>
  <si>
    <t>dg</t>
  </si>
  <si>
    <t>abfg</t>
  </si>
  <si>
    <t>afbed*cg</t>
  </si>
  <si>
    <t>10111001</t>
  </si>
  <si>
    <t>10101011</t>
  </si>
  <si>
    <t>01100011</t>
  </si>
  <si>
    <t>01110011</t>
  </si>
  <si>
    <t>11001011</t>
  </si>
  <si>
    <t>abcdefg</t>
  </si>
  <si>
    <t>11110011</t>
  </si>
  <si>
    <t>01011011</t>
  </si>
  <si>
    <t>11011000</t>
  </si>
  <si>
    <t>bcdeg</t>
  </si>
  <si>
    <t>bfaed*cg</t>
  </si>
  <si>
    <t>00111011</t>
  </si>
  <si>
    <t>11111011</t>
  </si>
  <si>
    <t>11011001</t>
  </si>
  <si>
    <t>11010001</t>
  </si>
  <si>
    <t>01011000</t>
  </si>
  <si>
    <t>11110001</t>
  </si>
  <si>
    <t>00010011</t>
  </si>
  <si>
    <t>00011011</t>
  </si>
  <si>
    <t>00010001</t>
  </si>
  <si>
    <t>01011001</t>
  </si>
  <si>
    <t>01101011</t>
  </si>
  <si>
    <t>00000001</t>
  </si>
  <si>
    <t>00001000</t>
  </si>
  <si>
    <t>00001001</t>
  </si>
  <si>
    <t>11100001</t>
  </si>
  <si>
    <t>11101011</t>
  </si>
  <si>
    <t>10100010</t>
  </si>
  <si>
    <t>01111010</t>
  </si>
  <si>
    <t>11011010</t>
  </si>
  <si>
    <t>#define</t>
  </si>
  <si>
    <t>disp2_0</t>
  </si>
  <si>
    <t>disp2_1</t>
  </si>
  <si>
    <t>disp2_2</t>
  </si>
  <si>
    <t>disp2_3</t>
  </si>
  <si>
    <t>disp2_4</t>
  </si>
  <si>
    <t>disp2_5</t>
  </si>
  <si>
    <t>disp2_6</t>
  </si>
  <si>
    <t>disp2_7</t>
  </si>
  <si>
    <t>disp2_8</t>
  </si>
  <si>
    <t>disp2_9</t>
  </si>
  <si>
    <t>disp2_A</t>
  </si>
  <si>
    <t>disp2_B</t>
  </si>
  <si>
    <t>disp2_C</t>
  </si>
  <si>
    <t>disp2_D</t>
  </si>
  <si>
    <t>disp2_E</t>
  </si>
  <si>
    <t>disp2_F</t>
  </si>
  <si>
    <t>disp2_H</t>
  </si>
  <si>
    <t>disp2_L</t>
  </si>
  <si>
    <t>disp2_P</t>
  </si>
  <si>
    <t>disp2_U</t>
  </si>
  <si>
    <t>disp2_n</t>
  </si>
  <si>
    <t>disp2_o</t>
  </si>
  <si>
    <t>disp2_r</t>
  </si>
  <si>
    <t>disp2_t</t>
  </si>
  <si>
    <t>disp2_y</t>
  </si>
  <si>
    <t>disp2_dash</t>
  </si>
  <si>
    <t>disp2_underscore</t>
  </si>
  <si>
    <t>disp2_equal</t>
  </si>
  <si>
    <t>disp2_degree</t>
  </si>
  <si>
    <t>disp2_clear</t>
  </si>
  <si>
    <t>10000010</t>
  </si>
  <si>
    <t>11000011</t>
  </si>
  <si>
    <t>01111000</t>
  </si>
  <si>
    <t>10011011</t>
  </si>
  <si>
    <t>01111001</t>
  </si>
  <si>
    <t>01110001</t>
  </si>
  <si>
    <t>11010011</t>
  </si>
  <si>
    <t>acdefg</t>
  </si>
  <si>
    <t>11011011</t>
  </si>
  <si>
    <t>01111011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</si>
</sst>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F04D6-6EF1-4D61-BB17-625E3F879F91}">
  <dimension ref="A1:AG33"/>
  <sheetViews>
    <sheetView tabSelected="1" workbookViewId="0">
      <selection activeCell="V10" sqref="V10"/>
    </sheetView>
  </sheetViews>
  <sheetFormatPr defaultRowHeight="15" x14ac:dyDescent="0.25"/>
  <cols>
    <col min="2" max="17" width="3.7109375" customWidth="1"/>
    <col min="21" max="21" width="10" bestFit="1" customWidth="1"/>
    <col min="24" max="24" width="10" bestFit="1" customWidth="1"/>
    <col min="32" max="32" width="22.85546875" customWidth="1"/>
  </cols>
  <sheetData>
    <row r="1" spans="1:33" x14ac:dyDescent="0.25">
      <c r="B1" s="2" t="s">
        <v>1</v>
      </c>
      <c r="C1" s="2"/>
      <c r="D1" s="2"/>
      <c r="E1" s="2"/>
      <c r="F1" s="2"/>
      <c r="G1" s="2"/>
      <c r="H1" s="2"/>
      <c r="I1" s="2"/>
      <c r="J1" s="2" t="s">
        <v>2</v>
      </c>
      <c r="K1" s="2"/>
      <c r="L1" s="2"/>
      <c r="M1" s="2"/>
      <c r="N1" s="2"/>
      <c r="O1" s="2"/>
      <c r="P1" s="2"/>
      <c r="Q1" s="2"/>
      <c r="S1" s="2" t="s">
        <v>13</v>
      </c>
      <c r="T1" s="2"/>
      <c r="U1" s="2" t="s">
        <v>12</v>
      </c>
      <c r="V1" s="2"/>
      <c r="W1" s="2"/>
      <c r="X1" s="2" t="s">
        <v>14</v>
      </c>
      <c r="Y1" s="2"/>
      <c r="Z1" s="2"/>
    </row>
    <row r="2" spans="1:33" x14ac:dyDescent="0.25">
      <c r="A2" t="s">
        <v>0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  <c r="P2" t="s">
        <v>9</v>
      </c>
      <c r="Q2" t="s">
        <v>10</v>
      </c>
      <c r="S2" s="1"/>
      <c r="T2" s="1"/>
      <c r="U2" s="2" t="s">
        <v>63</v>
      </c>
      <c r="V2" s="2"/>
      <c r="W2" s="2"/>
      <c r="X2" s="2" t="s">
        <v>74</v>
      </c>
      <c r="Y2" s="2"/>
      <c r="Z2" s="2"/>
    </row>
    <row r="3" spans="1:33" x14ac:dyDescent="0.25">
      <c r="A3" s="3">
        <v>0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 t="s">
        <v>11</v>
      </c>
      <c r="Q3" s="5"/>
      <c r="U3" t="s">
        <v>15</v>
      </c>
      <c r="V3" t="s">
        <v>16</v>
      </c>
      <c r="W3" t="s">
        <v>17</v>
      </c>
      <c r="X3" t="s">
        <v>15</v>
      </c>
      <c r="Y3" t="s">
        <v>16</v>
      </c>
      <c r="Z3" t="s">
        <v>17</v>
      </c>
    </row>
    <row r="4" spans="1:33" x14ac:dyDescent="0.25">
      <c r="A4" s="6">
        <v>1</v>
      </c>
      <c r="B4" s="7"/>
      <c r="C4" s="7"/>
      <c r="D4" s="7"/>
      <c r="E4" s="7"/>
      <c r="F4" s="7"/>
      <c r="G4" s="7"/>
      <c r="H4" s="7"/>
      <c r="I4" s="7"/>
      <c r="J4" s="7"/>
      <c r="K4" s="7"/>
      <c r="L4" s="7" t="s">
        <v>11</v>
      </c>
      <c r="M4" s="7"/>
      <c r="N4" s="7"/>
      <c r="O4" s="7"/>
      <c r="P4" s="7"/>
      <c r="Q4" s="8"/>
      <c r="S4">
        <v>0</v>
      </c>
      <c r="T4" t="s">
        <v>39</v>
      </c>
      <c r="U4" s="12" t="s">
        <v>18</v>
      </c>
      <c r="V4" t="str">
        <f>BIN2HEX(U4)</f>
        <v>FA</v>
      </c>
      <c r="W4">
        <f>BIN2DEC(U4)</f>
        <v>250</v>
      </c>
      <c r="X4" s="13" t="s">
        <v>18</v>
      </c>
      <c r="Y4" t="str">
        <f>BIN2HEX(X4)</f>
        <v>FA</v>
      </c>
      <c r="Z4">
        <f>BIN2DEC(X4)</f>
        <v>250</v>
      </c>
      <c r="AD4" s="13"/>
      <c r="AE4" s="13" t="s">
        <v>94</v>
      </c>
      <c r="AF4" t="s">
        <v>95</v>
      </c>
      <c r="AG4" t="str">
        <f>_xlfn.CONCAT("0x",Y4)</f>
        <v>0xFA</v>
      </c>
    </row>
    <row r="5" spans="1:33" x14ac:dyDescent="0.25">
      <c r="A5" s="6">
        <v>2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8" t="s">
        <v>11</v>
      </c>
      <c r="S5">
        <v>1</v>
      </c>
      <c r="T5" t="s">
        <v>40</v>
      </c>
      <c r="U5" s="12" t="s">
        <v>19</v>
      </c>
      <c r="V5" t="str">
        <f t="shared" ref="V5:V32" si="0">BIN2HEX(U5)</f>
        <v>22</v>
      </c>
      <c r="W5">
        <f t="shared" ref="W5:W21" si="1">BIN2DEC(U5)</f>
        <v>34</v>
      </c>
      <c r="X5" s="13" t="s">
        <v>125</v>
      </c>
      <c r="Y5" t="str">
        <f>BIN2HEX(X5)</f>
        <v>82</v>
      </c>
      <c r="Z5">
        <f>BIN2DEC(X5)</f>
        <v>130</v>
      </c>
      <c r="AD5" s="13"/>
      <c r="AE5" s="13" t="s">
        <v>94</v>
      </c>
      <c r="AF5" t="s">
        <v>96</v>
      </c>
      <c r="AG5" t="str">
        <f t="shared" ref="AG5:AG33" si="2">_xlfn.CONCAT("0x",Y5)</f>
        <v>0x82</v>
      </c>
    </row>
    <row r="6" spans="1:33" x14ac:dyDescent="0.25">
      <c r="A6" s="6">
        <v>3</v>
      </c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 t="s">
        <v>11</v>
      </c>
      <c r="N6" s="7"/>
      <c r="O6" s="7"/>
      <c r="P6" s="7"/>
      <c r="Q6" s="8"/>
      <c r="S6">
        <v>2</v>
      </c>
      <c r="T6" t="s">
        <v>41</v>
      </c>
      <c r="U6" s="12" t="s">
        <v>64</v>
      </c>
      <c r="V6" t="str">
        <f t="shared" si="0"/>
        <v>B9</v>
      </c>
      <c r="W6">
        <f t="shared" si="1"/>
        <v>185</v>
      </c>
      <c r="X6" s="13" t="s">
        <v>64</v>
      </c>
      <c r="Y6" t="str">
        <f>BIN2HEX(X6)</f>
        <v>B9</v>
      </c>
      <c r="Z6">
        <f>BIN2DEC(X6)</f>
        <v>185</v>
      </c>
      <c r="AD6" s="13"/>
      <c r="AE6" s="13" t="s">
        <v>94</v>
      </c>
      <c r="AF6" t="s">
        <v>97</v>
      </c>
      <c r="AG6" t="str">
        <f t="shared" si="2"/>
        <v>0xB9</v>
      </c>
    </row>
    <row r="7" spans="1:33" x14ac:dyDescent="0.25">
      <c r="A7" s="6">
        <v>4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 t="s">
        <v>11</v>
      </c>
      <c r="O7" s="7"/>
      <c r="P7" s="7"/>
      <c r="Q7" s="8"/>
      <c r="S7">
        <v>3</v>
      </c>
      <c r="T7" t="s">
        <v>42</v>
      </c>
      <c r="U7" s="12" t="s">
        <v>65</v>
      </c>
      <c r="V7" t="str">
        <f t="shared" si="0"/>
        <v>AB</v>
      </c>
      <c r="W7">
        <f t="shared" si="1"/>
        <v>171</v>
      </c>
      <c r="X7" s="13" t="s">
        <v>65</v>
      </c>
      <c r="Y7" t="str">
        <f>BIN2HEX(X7)</f>
        <v>AB</v>
      </c>
      <c r="Z7">
        <f>BIN2DEC(X7)</f>
        <v>171</v>
      </c>
      <c r="AD7" s="13"/>
      <c r="AE7" s="13" t="s">
        <v>94</v>
      </c>
      <c r="AF7" t="s">
        <v>98</v>
      </c>
      <c r="AG7" t="str">
        <f t="shared" si="2"/>
        <v>0xAB</v>
      </c>
    </row>
    <row r="8" spans="1:33" x14ac:dyDescent="0.25">
      <c r="A8" s="6">
        <v>5</v>
      </c>
      <c r="B8" s="7"/>
      <c r="C8" s="7"/>
      <c r="D8" s="7"/>
      <c r="E8" s="7"/>
      <c r="F8" s="7"/>
      <c r="G8" s="7"/>
      <c r="H8" s="7"/>
      <c r="I8" s="7"/>
      <c r="J8" s="7" t="s">
        <v>11</v>
      </c>
      <c r="K8" s="7"/>
      <c r="L8" s="7"/>
      <c r="M8" s="7"/>
      <c r="N8" s="7"/>
      <c r="O8" s="7"/>
      <c r="P8" s="7"/>
      <c r="Q8" s="8"/>
      <c r="S8">
        <v>4</v>
      </c>
      <c r="T8" t="s">
        <v>43</v>
      </c>
      <c r="U8" s="12" t="s">
        <v>66</v>
      </c>
      <c r="V8" t="str">
        <f t="shared" si="0"/>
        <v>63</v>
      </c>
      <c r="W8">
        <f t="shared" si="1"/>
        <v>99</v>
      </c>
      <c r="X8" s="13" t="s">
        <v>126</v>
      </c>
      <c r="Y8" t="str">
        <f>BIN2HEX(X8)</f>
        <v>C3</v>
      </c>
      <c r="Z8">
        <f>BIN2DEC(X8)</f>
        <v>195</v>
      </c>
      <c r="AD8" s="13"/>
      <c r="AE8" s="13" t="s">
        <v>94</v>
      </c>
      <c r="AF8" t="s">
        <v>99</v>
      </c>
      <c r="AG8" t="str">
        <f t="shared" si="2"/>
        <v>0xC3</v>
      </c>
    </row>
    <row r="9" spans="1:33" x14ac:dyDescent="0.25">
      <c r="A9" s="6">
        <v>6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 t="s">
        <v>11</v>
      </c>
      <c r="P9" s="7"/>
      <c r="Q9" s="8"/>
      <c r="S9">
        <v>5</v>
      </c>
      <c r="T9" t="s">
        <v>44</v>
      </c>
      <c r="U9" s="12" t="s">
        <v>68</v>
      </c>
      <c r="V9" t="str">
        <f t="shared" si="0"/>
        <v>CB</v>
      </c>
      <c r="W9">
        <f t="shared" si="1"/>
        <v>203</v>
      </c>
      <c r="X9" s="13" t="s">
        <v>85</v>
      </c>
      <c r="Y9" t="str">
        <f>BIN2HEX(X9)</f>
        <v>6B</v>
      </c>
      <c r="Z9">
        <f>BIN2DEC(X9)</f>
        <v>107</v>
      </c>
      <c r="AD9" s="13"/>
      <c r="AE9" s="13" t="s">
        <v>94</v>
      </c>
      <c r="AF9" t="s">
        <v>100</v>
      </c>
      <c r="AG9" t="str">
        <f t="shared" si="2"/>
        <v>0x6B</v>
      </c>
    </row>
    <row r="10" spans="1:33" x14ac:dyDescent="0.25">
      <c r="A10" s="9">
        <v>7</v>
      </c>
      <c r="B10" s="10"/>
      <c r="C10" s="10"/>
      <c r="D10" s="10"/>
      <c r="E10" s="10"/>
      <c r="F10" s="10"/>
      <c r="G10" s="10"/>
      <c r="H10" s="10"/>
      <c r="I10" s="10"/>
      <c r="J10" s="10"/>
      <c r="K10" s="10" t="s">
        <v>11</v>
      </c>
      <c r="L10" s="10"/>
      <c r="M10" s="10"/>
      <c r="N10" s="10"/>
      <c r="O10" s="10"/>
      <c r="P10" s="10"/>
      <c r="Q10" s="11"/>
      <c r="S10">
        <v>6</v>
      </c>
      <c r="T10" t="s">
        <v>132</v>
      </c>
      <c r="U10" s="12" t="s">
        <v>133</v>
      </c>
      <c r="V10" t="str">
        <f t="shared" si="0"/>
        <v>DB</v>
      </c>
      <c r="W10">
        <f t="shared" si="1"/>
        <v>219</v>
      </c>
      <c r="X10" s="14" t="s">
        <v>134</v>
      </c>
      <c r="Y10" t="str">
        <f>BIN2HEX(X10)</f>
        <v>7B</v>
      </c>
      <c r="Z10">
        <f>BIN2DEC(X10)</f>
        <v>123</v>
      </c>
      <c r="AD10" s="13"/>
      <c r="AE10" s="13" t="s">
        <v>94</v>
      </c>
      <c r="AF10" t="s">
        <v>101</v>
      </c>
      <c r="AG10" t="str">
        <f t="shared" si="2"/>
        <v>0x7B</v>
      </c>
    </row>
    <row r="11" spans="1:33" x14ac:dyDescent="0.25">
      <c r="A11" s="3">
        <v>8</v>
      </c>
      <c r="B11" s="4"/>
      <c r="C11" s="4"/>
      <c r="D11" s="4"/>
      <c r="E11" s="4"/>
      <c r="F11" s="4"/>
      <c r="G11" s="4"/>
      <c r="H11" s="4" t="s">
        <v>11</v>
      </c>
      <c r="I11" s="4"/>
      <c r="J11" s="4"/>
      <c r="K11" s="4"/>
      <c r="L11" s="4"/>
      <c r="M11" s="4"/>
      <c r="N11" s="4"/>
      <c r="O11" s="4"/>
      <c r="P11" s="4"/>
      <c r="Q11" s="5"/>
      <c r="S11">
        <v>7</v>
      </c>
      <c r="T11" t="s">
        <v>45</v>
      </c>
      <c r="U11" s="12" t="s">
        <v>91</v>
      </c>
      <c r="V11" t="str">
        <f t="shared" si="0"/>
        <v>A2</v>
      </c>
      <c r="W11">
        <f t="shared" si="1"/>
        <v>162</v>
      </c>
      <c r="X11" s="13" t="s">
        <v>91</v>
      </c>
      <c r="Y11" t="str">
        <f>BIN2HEX(X11)</f>
        <v>A2</v>
      </c>
      <c r="Z11">
        <f>BIN2DEC(X11)</f>
        <v>162</v>
      </c>
      <c r="AD11" s="13"/>
      <c r="AE11" s="13" t="s">
        <v>94</v>
      </c>
      <c r="AF11" t="s">
        <v>102</v>
      </c>
      <c r="AG11" t="str">
        <f t="shared" si="2"/>
        <v>0xA2</v>
      </c>
    </row>
    <row r="12" spans="1:33" x14ac:dyDescent="0.25">
      <c r="A12" s="6">
        <v>9</v>
      </c>
      <c r="B12" s="7"/>
      <c r="C12" s="7"/>
      <c r="D12" s="7" t="s">
        <v>11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8"/>
      <c r="S12">
        <v>8</v>
      </c>
      <c r="T12" t="s">
        <v>69</v>
      </c>
      <c r="U12" s="12" t="s">
        <v>76</v>
      </c>
      <c r="V12" t="str">
        <f t="shared" si="0"/>
        <v>FB</v>
      </c>
      <c r="W12">
        <f t="shared" si="1"/>
        <v>251</v>
      </c>
      <c r="X12" s="13" t="s">
        <v>76</v>
      </c>
      <c r="Y12" t="str">
        <f>BIN2HEX(X12)</f>
        <v>FB</v>
      </c>
      <c r="Z12">
        <f>BIN2DEC(X12)</f>
        <v>251</v>
      </c>
      <c r="AD12" s="13"/>
      <c r="AE12" s="13" t="s">
        <v>94</v>
      </c>
      <c r="AF12" t="s">
        <v>103</v>
      </c>
      <c r="AG12" t="str">
        <f t="shared" si="2"/>
        <v>0xFB</v>
      </c>
    </row>
    <row r="13" spans="1:33" x14ac:dyDescent="0.25">
      <c r="A13" s="6">
        <v>10</v>
      </c>
      <c r="B13" s="7"/>
      <c r="C13" s="7"/>
      <c r="D13" s="7"/>
      <c r="E13" s="7"/>
      <c r="F13" s="7"/>
      <c r="G13" s="7"/>
      <c r="H13" s="7"/>
      <c r="I13" s="7" t="s">
        <v>11</v>
      </c>
      <c r="J13" s="7"/>
      <c r="K13" s="7"/>
      <c r="L13" s="7"/>
      <c r="M13" s="7"/>
      <c r="N13" s="7"/>
      <c r="O13" s="7"/>
      <c r="P13" s="7"/>
      <c r="Q13" s="8"/>
      <c r="S13">
        <v>9</v>
      </c>
      <c r="T13" t="s">
        <v>46</v>
      </c>
      <c r="U13" s="12" t="s">
        <v>90</v>
      </c>
      <c r="V13" t="str">
        <f t="shared" si="0"/>
        <v>EB</v>
      </c>
      <c r="W13">
        <f t="shared" si="1"/>
        <v>235</v>
      </c>
      <c r="X13" s="13" t="s">
        <v>90</v>
      </c>
      <c r="Y13" t="str">
        <f>BIN2HEX(X13)</f>
        <v>EB</v>
      </c>
      <c r="Z13">
        <f>BIN2DEC(X13)</f>
        <v>235</v>
      </c>
      <c r="AD13" s="13"/>
      <c r="AE13" s="13" t="s">
        <v>94</v>
      </c>
      <c r="AF13" t="s">
        <v>104</v>
      </c>
      <c r="AG13" t="str">
        <f t="shared" si="2"/>
        <v>0xEB</v>
      </c>
    </row>
    <row r="14" spans="1:33" x14ac:dyDescent="0.25">
      <c r="A14" s="6">
        <v>11</v>
      </c>
      <c r="B14" s="7"/>
      <c r="C14" s="7"/>
      <c r="D14" s="7"/>
      <c r="E14" s="7" t="s">
        <v>11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8"/>
      <c r="S14" t="s">
        <v>20</v>
      </c>
      <c r="T14" t="s">
        <v>47</v>
      </c>
      <c r="U14" s="12" t="s">
        <v>70</v>
      </c>
      <c r="V14" t="str">
        <f t="shared" si="0"/>
        <v>F3</v>
      </c>
      <c r="W14">
        <f t="shared" si="1"/>
        <v>243</v>
      </c>
      <c r="X14" s="13" t="s">
        <v>70</v>
      </c>
      <c r="Y14" t="str">
        <f>BIN2HEX(X14)</f>
        <v>F3</v>
      </c>
      <c r="Z14">
        <f>BIN2DEC(X14)</f>
        <v>243</v>
      </c>
      <c r="AD14" s="13"/>
      <c r="AE14" s="13" t="s">
        <v>94</v>
      </c>
      <c r="AF14" t="s">
        <v>105</v>
      </c>
      <c r="AG14" t="str">
        <f t="shared" si="2"/>
        <v>0xF3</v>
      </c>
    </row>
    <row r="15" spans="1:33" x14ac:dyDescent="0.25">
      <c r="A15" s="6">
        <v>12</v>
      </c>
      <c r="B15" s="7"/>
      <c r="C15" s="7"/>
      <c r="D15" s="7"/>
      <c r="E15" s="7"/>
      <c r="F15" s="7" t="s">
        <v>11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8"/>
      <c r="S15" t="s">
        <v>21</v>
      </c>
      <c r="T15" t="s">
        <v>48</v>
      </c>
      <c r="U15" s="12" t="s">
        <v>71</v>
      </c>
      <c r="V15" t="str">
        <f t="shared" si="0"/>
        <v>5B</v>
      </c>
      <c r="W15">
        <f t="shared" si="1"/>
        <v>91</v>
      </c>
      <c r="X15" s="13" t="s">
        <v>71</v>
      </c>
      <c r="Y15" t="str">
        <f>BIN2HEX(X15)</f>
        <v>5B</v>
      </c>
      <c r="Z15">
        <f>BIN2DEC(X15)</f>
        <v>91</v>
      </c>
      <c r="AD15" s="13"/>
      <c r="AE15" s="13" t="s">
        <v>94</v>
      </c>
      <c r="AF15" t="s">
        <v>106</v>
      </c>
      <c r="AG15" t="str">
        <f t="shared" si="2"/>
        <v>0x5B</v>
      </c>
    </row>
    <row r="16" spans="1:33" x14ac:dyDescent="0.25">
      <c r="A16" s="6">
        <v>13</v>
      </c>
      <c r="B16" s="7"/>
      <c r="C16" s="7" t="s">
        <v>11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8"/>
      <c r="S16" t="s">
        <v>22</v>
      </c>
      <c r="T16" t="s">
        <v>49</v>
      </c>
      <c r="U16" s="12" t="s">
        <v>72</v>
      </c>
      <c r="V16" t="str">
        <f t="shared" si="0"/>
        <v>D8</v>
      </c>
      <c r="W16">
        <f t="shared" si="1"/>
        <v>216</v>
      </c>
      <c r="X16" s="13" t="s">
        <v>127</v>
      </c>
      <c r="Y16" t="str">
        <f>BIN2HEX(X16)</f>
        <v>78</v>
      </c>
      <c r="Z16">
        <f>BIN2DEC(X16)</f>
        <v>120</v>
      </c>
      <c r="AD16" s="13"/>
      <c r="AE16" s="13" t="s">
        <v>94</v>
      </c>
      <c r="AF16" t="s">
        <v>107</v>
      </c>
      <c r="AG16" t="str">
        <f t="shared" si="2"/>
        <v>0x78</v>
      </c>
    </row>
    <row r="17" spans="1:33" x14ac:dyDescent="0.25">
      <c r="A17" s="6">
        <v>14</v>
      </c>
      <c r="B17" s="7"/>
      <c r="C17" s="7"/>
      <c r="D17" s="7"/>
      <c r="E17" s="7"/>
      <c r="F17" s="7"/>
      <c r="G17" s="7" t="s">
        <v>11</v>
      </c>
      <c r="H17" s="7"/>
      <c r="I17" s="7"/>
      <c r="J17" s="7"/>
      <c r="K17" s="7"/>
      <c r="L17" s="7"/>
      <c r="M17" s="7"/>
      <c r="N17" s="7"/>
      <c r="O17" s="7"/>
      <c r="P17" s="7"/>
      <c r="Q17" s="8"/>
      <c r="S17" t="s">
        <v>23</v>
      </c>
      <c r="T17" t="s">
        <v>73</v>
      </c>
      <c r="U17" s="12" t="s">
        <v>75</v>
      </c>
      <c r="V17" t="str">
        <f t="shared" si="0"/>
        <v>3B</v>
      </c>
      <c r="W17">
        <f t="shared" si="1"/>
        <v>59</v>
      </c>
      <c r="X17" s="13" t="s">
        <v>128</v>
      </c>
      <c r="Y17" t="str">
        <f>BIN2HEX(X17)</f>
        <v>9B</v>
      </c>
      <c r="Z17">
        <f>BIN2DEC(X17)</f>
        <v>155</v>
      </c>
      <c r="AD17" s="13"/>
      <c r="AE17" s="13" t="s">
        <v>94</v>
      </c>
      <c r="AF17" t="s">
        <v>108</v>
      </c>
      <c r="AG17" t="str">
        <f t="shared" si="2"/>
        <v>0x9B</v>
      </c>
    </row>
    <row r="18" spans="1:33" x14ac:dyDescent="0.25">
      <c r="A18" s="9">
        <v>15</v>
      </c>
      <c r="B18" s="10" t="s">
        <v>11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1"/>
      <c r="S18" t="s">
        <v>24</v>
      </c>
      <c r="T18" t="s">
        <v>50</v>
      </c>
      <c r="U18" s="12" t="s">
        <v>77</v>
      </c>
      <c r="V18" t="str">
        <f t="shared" si="0"/>
        <v>D9</v>
      </c>
      <c r="W18">
        <f t="shared" si="1"/>
        <v>217</v>
      </c>
      <c r="X18" s="13" t="s">
        <v>129</v>
      </c>
      <c r="Y18" t="str">
        <f>BIN2HEX(X18)</f>
        <v>79</v>
      </c>
      <c r="Z18">
        <f>BIN2DEC(X18)</f>
        <v>121</v>
      </c>
      <c r="AD18" s="13"/>
      <c r="AE18" s="13" t="s">
        <v>94</v>
      </c>
      <c r="AF18" t="s">
        <v>109</v>
      </c>
      <c r="AG18" t="str">
        <f t="shared" si="2"/>
        <v>0x79</v>
      </c>
    </row>
    <row r="19" spans="1:33" x14ac:dyDescent="0.25">
      <c r="S19" t="s">
        <v>25</v>
      </c>
      <c r="T19" t="s">
        <v>51</v>
      </c>
      <c r="U19" s="12" t="s">
        <v>78</v>
      </c>
      <c r="V19" t="str">
        <f t="shared" si="0"/>
        <v>D1</v>
      </c>
      <c r="W19">
        <f t="shared" si="1"/>
        <v>209</v>
      </c>
      <c r="X19" s="13" t="s">
        <v>130</v>
      </c>
      <c r="Y19" t="str">
        <f>BIN2HEX(X19)</f>
        <v>71</v>
      </c>
      <c r="Z19">
        <f>BIN2DEC(X19)</f>
        <v>113</v>
      </c>
      <c r="AD19" s="13"/>
      <c r="AE19" s="13" t="s">
        <v>94</v>
      </c>
      <c r="AF19" t="s">
        <v>110</v>
      </c>
      <c r="AG19" t="str">
        <f t="shared" si="2"/>
        <v>0x71</v>
      </c>
    </row>
    <row r="20" spans="1:33" x14ac:dyDescent="0.25">
      <c r="S20" t="s">
        <v>26</v>
      </c>
      <c r="T20" t="s">
        <v>52</v>
      </c>
      <c r="U20" s="12" t="s">
        <v>67</v>
      </c>
      <c r="V20" t="str">
        <f t="shared" si="0"/>
        <v>73</v>
      </c>
      <c r="W20">
        <f t="shared" si="1"/>
        <v>115</v>
      </c>
      <c r="X20" s="13" t="s">
        <v>131</v>
      </c>
      <c r="Y20" t="str">
        <f>BIN2HEX(X20)</f>
        <v>D3</v>
      </c>
      <c r="Z20">
        <f>BIN2DEC(X20)</f>
        <v>211</v>
      </c>
      <c r="AD20" s="13"/>
      <c r="AE20" s="13" t="s">
        <v>94</v>
      </c>
      <c r="AF20" t="s">
        <v>111</v>
      </c>
      <c r="AG20" t="str">
        <f t="shared" si="2"/>
        <v>0xD3</v>
      </c>
    </row>
    <row r="21" spans="1:33" x14ac:dyDescent="0.25">
      <c r="S21" t="s">
        <v>27</v>
      </c>
      <c r="T21" t="s">
        <v>53</v>
      </c>
      <c r="U21" s="12" t="s">
        <v>79</v>
      </c>
      <c r="V21" t="str">
        <f t="shared" si="0"/>
        <v>58</v>
      </c>
      <c r="W21">
        <f t="shared" si="1"/>
        <v>88</v>
      </c>
      <c r="X21" s="13" t="s">
        <v>79</v>
      </c>
      <c r="Y21" t="str">
        <f>BIN2HEX(X21)</f>
        <v>58</v>
      </c>
      <c r="Z21">
        <f>BIN2DEC(X21)</f>
        <v>88</v>
      </c>
      <c r="AD21" s="13"/>
      <c r="AE21" s="13" t="s">
        <v>94</v>
      </c>
      <c r="AF21" t="s">
        <v>112</v>
      </c>
      <c r="AG21" t="str">
        <f t="shared" si="2"/>
        <v>0x58</v>
      </c>
    </row>
    <row r="22" spans="1:33" x14ac:dyDescent="0.25">
      <c r="S22" t="s">
        <v>28</v>
      </c>
      <c r="T22" t="s">
        <v>54</v>
      </c>
      <c r="U22" s="12" t="s">
        <v>80</v>
      </c>
      <c r="V22" t="str">
        <f t="shared" si="0"/>
        <v>F1</v>
      </c>
      <c r="W22">
        <f t="shared" ref="W22:W32" si="3">BIN2DEC(U22)</f>
        <v>241</v>
      </c>
      <c r="X22" s="13" t="s">
        <v>80</v>
      </c>
      <c r="Y22" t="str">
        <f>BIN2HEX(X22)</f>
        <v>F1</v>
      </c>
      <c r="Z22">
        <f>BIN2DEC(X22)</f>
        <v>241</v>
      </c>
      <c r="AD22" s="13"/>
      <c r="AE22" s="13" t="s">
        <v>94</v>
      </c>
      <c r="AF22" t="s">
        <v>113</v>
      </c>
      <c r="AG22" t="str">
        <f t="shared" si="2"/>
        <v>0xF1</v>
      </c>
    </row>
    <row r="23" spans="1:33" x14ac:dyDescent="0.25">
      <c r="S23" t="s">
        <v>29</v>
      </c>
      <c r="T23" t="s">
        <v>55</v>
      </c>
      <c r="U23" s="12" t="s">
        <v>92</v>
      </c>
      <c r="V23" t="str">
        <f t="shared" si="0"/>
        <v>7A</v>
      </c>
      <c r="W23">
        <f t="shared" si="3"/>
        <v>122</v>
      </c>
      <c r="X23" s="13" t="s">
        <v>93</v>
      </c>
      <c r="Y23" t="str">
        <f>BIN2HEX(X23)</f>
        <v>DA</v>
      </c>
      <c r="Z23">
        <f>BIN2DEC(X23)</f>
        <v>218</v>
      </c>
      <c r="AD23" s="13"/>
      <c r="AE23" s="13" t="s">
        <v>94</v>
      </c>
      <c r="AF23" t="s">
        <v>114</v>
      </c>
      <c r="AG23" t="str">
        <f t="shared" si="2"/>
        <v>0xDA</v>
      </c>
    </row>
    <row r="24" spans="1:33" x14ac:dyDescent="0.25">
      <c r="S24" t="s">
        <v>30</v>
      </c>
      <c r="T24" t="s">
        <v>56</v>
      </c>
      <c r="U24" s="12" t="s">
        <v>81</v>
      </c>
      <c r="V24" t="str">
        <f t="shared" si="0"/>
        <v>13</v>
      </c>
      <c r="W24">
        <f t="shared" si="3"/>
        <v>19</v>
      </c>
      <c r="X24" s="13" t="s">
        <v>81</v>
      </c>
      <c r="Y24" t="str">
        <f>BIN2HEX(X24)</f>
        <v>13</v>
      </c>
      <c r="Z24">
        <f>BIN2DEC(X24)</f>
        <v>19</v>
      </c>
      <c r="AD24" s="13"/>
      <c r="AE24" s="13" t="s">
        <v>94</v>
      </c>
      <c r="AF24" t="s">
        <v>115</v>
      </c>
      <c r="AG24" t="str">
        <f t="shared" si="2"/>
        <v>0x13</v>
      </c>
    </row>
    <row r="25" spans="1:33" x14ac:dyDescent="0.25">
      <c r="S25" t="s">
        <v>31</v>
      </c>
      <c r="T25" t="s">
        <v>57</v>
      </c>
      <c r="U25" s="12" t="s">
        <v>82</v>
      </c>
      <c r="V25" t="str">
        <f t="shared" si="0"/>
        <v>1B</v>
      </c>
      <c r="W25">
        <f t="shared" si="3"/>
        <v>27</v>
      </c>
      <c r="X25" s="13" t="s">
        <v>82</v>
      </c>
      <c r="Y25" t="str">
        <f>BIN2HEX(X25)</f>
        <v>1B</v>
      </c>
      <c r="Z25">
        <f>BIN2DEC(X25)</f>
        <v>27</v>
      </c>
      <c r="AD25" s="13"/>
      <c r="AE25" s="13" t="s">
        <v>94</v>
      </c>
      <c r="AF25" t="s">
        <v>116</v>
      </c>
      <c r="AG25" t="str">
        <f t="shared" si="2"/>
        <v>0x1B</v>
      </c>
    </row>
    <row r="26" spans="1:33" x14ac:dyDescent="0.25">
      <c r="S26" t="s">
        <v>32</v>
      </c>
      <c r="T26" t="s">
        <v>58</v>
      </c>
      <c r="U26" s="12" t="s">
        <v>83</v>
      </c>
      <c r="V26" t="str">
        <f t="shared" si="0"/>
        <v>11</v>
      </c>
      <c r="W26">
        <f t="shared" si="3"/>
        <v>17</v>
      </c>
      <c r="X26" s="13" t="s">
        <v>83</v>
      </c>
      <c r="Y26" t="str">
        <f>BIN2HEX(X26)</f>
        <v>11</v>
      </c>
      <c r="Z26">
        <f>BIN2DEC(X26)</f>
        <v>17</v>
      </c>
      <c r="AD26" s="13"/>
      <c r="AE26" s="13" t="s">
        <v>94</v>
      </c>
      <c r="AF26" t="s">
        <v>117</v>
      </c>
      <c r="AG26" t="str">
        <f t="shared" si="2"/>
        <v>0x11</v>
      </c>
    </row>
    <row r="27" spans="1:33" x14ac:dyDescent="0.25">
      <c r="S27" t="s">
        <v>33</v>
      </c>
      <c r="T27" t="s">
        <v>59</v>
      </c>
      <c r="U27" s="12" t="s">
        <v>84</v>
      </c>
      <c r="V27" t="str">
        <f t="shared" si="0"/>
        <v>59</v>
      </c>
      <c r="W27">
        <f t="shared" si="3"/>
        <v>89</v>
      </c>
      <c r="X27" s="13" t="s">
        <v>84</v>
      </c>
      <c r="Y27" t="str">
        <f>BIN2HEX(X27)</f>
        <v>59</v>
      </c>
      <c r="Z27">
        <f>BIN2DEC(X27)</f>
        <v>89</v>
      </c>
      <c r="AD27" s="13"/>
      <c r="AE27" s="13" t="s">
        <v>94</v>
      </c>
      <c r="AF27" t="s">
        <v>118</v>
      </c>
      <c r="AG27" t="str">
        <f t="shared" si="2"/>
        <v>0x59</v>
      </c>
    </row>
    <row r="28" spans="1:33" x14ac:dyDescent="0.25">
      <c r="S28" t="s">
        <v>34</v>
      </c>
      <c r="T28" t="s">
        <v>60</v>
      </c>
      <c r="U28" s="12" t="s">
        <v>85</v>
      </c>
      <c r="V28" t="str">
        <f t="shared" si="0"/>
        <v>6B</v>
      </c>
      <c r="W28">
        <f t="shared" si="3"/>
        <v>107</v>
      </c>
      <c r="X28" s="13" t="s">
        <v>68</v>
      </c>
      <c r="Y28" t="str">
        <f>BIN2HEX(X28)</f>
        <v>CB</v>
      </c>
      <c r="Z28">
        <f>BIN2DEC(X28)</f>
        <v>203</v>
      </c>
      <c r="AD28" s="13"/>
      <c r="AE28" s="13" t="s">
        <v>94</v>
      </c>
      <c r="AF28" t="s">
        <v>119</v>
      </c>
      <c r="AG28" t="str">
        <f t="shared" si="2"/>
        <v>0xCB</v>
      </c>
    </row>
    <row r="29" spans="1:33" x14ac:dyDescent="0.25">
      <c r="S29" t="s">
        <v>35</v>
      </c>
      <c r="T29" t="s">
        <v>9</v>
      </c>
      <c r="U29" s="12" t="s">
        <v>86</v>
      </c>
      <c r="V29" t="str">
        <f t="shared" si="0"/>
        <v>1</v>
      </c>
      <c r="W29">
        <f t="shared" si="3"/>
        <v>1</v>
      </c>
      <c r="X29" s="13" t="s">
        <v>86</v>
      </c>
      <c r="Y29" t="str">
        <f>BIN2HEX(X29)</f>
        <v>1</v>
      </c>
      <c r="Z29">
        <f>BIN2DEC(X29)</f>
        <v>1</v>
      </c>
      <c r="AD29" s="13"/>
      <c r="AE29" s="13" t="s">
        <v>94</v>
      </c>
      <c r="AF29" t="s">
        <v>120</v>
      </c>
      <c r="AG29" t="str">
        <f t="shared" si="2"/>
        <v>0x1</v>
      </c>
    </row>
    <row r="30" spans="1:33" x14ac:dyDescent="0.25">
      <c r="S30" t="s">
        <v>36</v>
      </c>
      <c r="T30" t="s">
        <v>6</v>
      </c>
      <c r="U30" s="12" t="s">
        <v>87</v>
      </c>
      <c r="V30" t="str">
        <f t="shared" si="0"/>
        <v>8</v>
      </c>
      <c r="W30">
        <f t="shared" si="3"/>
        <v>8</v>
      </c>
      <c r="X30" s="13" t="s">
        <v>87</v>
      </c>
      <c r="Y30" t="str">
        <f>BIN2HEX(X30)</f>
        <v>8</v>
      </c>
      <c r="Z30">
        <f>BIN2DEC(X30)</f>
        <v>8</v>
      </c>
      <c r="AD30" s="13"/>
      <c r="AE30" s="13" t="s">
        <v>94</v>
      </c>
      <c r="AF30" t="s">
        <v>121</v>
      </c>
      <c r="AG30" t="str">
        <f t="shared" si="2"/>
        <v>0x8</v>
      </c>
    </row>
    <row r="31" spans="1:33" x14ac:dyDescent="0.25">
      <c r="S31" t="s">
        <v>37</v>
      </c>
      <c r="T31" t="s">
        <v>61</v>
      </c>
      <c r="U31" s="12" t="s">
        <v>88</v>
      </c>
      <c r="V31" t="str">
        <f t="shared" si="0"/>
        <v>9</v>
      </c>
      <c r="W31">
        <f t="shared" si="3"/>
        <v>9</v>
      </c>
      <c r="X31" s="13" t="s">
        <v>88</v>
      </c>
      <c r="Y31" t="str">
        <f>BIN2HEX(X31)</f>
        <v>9</v>
      </c>
      <c r="Z31">
        <f>BIN2DEC(X31)</f>
        <v>9</v>
      </c>
      <c r="AD31" s="13"/>
      <c r="AE31" s="13" t="s">
        <v>94</v>
      </c>
      <c r="AF31" t="s">
        <v>122</v>
      </c>
      <c r="AG31" t="str">
        <f t="shared" si="2"/>
        <v>0x9</v>
      </c>
    </row>
    <row r="32" spans="1:33" x14ac:dyDescent="0.25">
      <c r="S32" t="s">
        <v>38</v>
      </c>
      <c r="T32" t="s">
        <v>62</v>
      </c>
      <c r="U32" s="12" t="s">
        <v>89</v>
      </c>
      <c r="V32" t="str">
        <f t="shared" si="0"/>
        <v>E1</v>
      </c>
      <c r="W32">
        <f t="shared" si="3"/>
        <v>225</v>
      </c>
      <c r="X32" s="13" t="s">
        <v>89</v>
      </c>
      <c r="Y32" t="str">
        <f>BIN2HEX(X32)</f>
        <v>E1</v>
      </c>
      <c r="Z32">
        <f>BIN2DEC(X32)</f>
        <v>225</v>
      </c>
      <c r="AD32" s="13"/>
      <c r="AE32" s="13" t="s">
        <v>94</v>
      </c>
      <c r="AF32" t="s">
        <v>123</v>
      </c>
      <c r="AG32" t="str">
        <f t="shared" si="2"/>
        <v>0xE1</v>
      </c>
    </row>
    <row r="33" spans="24:33" x14ac:dyDescent="0.25">
      <c r="X33">
        <v>0</v>
      </c>
      <c r="Y33" t="str">
        <f>BIN2HEX(X33)</f>
        <v>0</v>
      </c>
      <c r="Z33">
        <f>BIN2DEC(X33)</f>
        <v>0</v>
      </c>
      <c r="AE33" t="s">
        <v>94</v>
      </c>
      <c r="AF33" t="s">
        <v>124</v>
      </c>
      <c r="AG33" t="str">
        <f t="shared" si="2"/>
        <v>0x0</v>
      </c>
    </row>
  </sheetData>
  <mergeCells count="7">
    <mergeCell ref="B1:I1"/>
    <mergeCell ref="J1:Q1"/>
    <mergeCell ref="U1:W1"/>
    <mergeCell ref="X1:Z1"/>
    <mergeCell ref="S1:T1"/>
    <mergeCell ref="U2:W2"/>
    <mergeCell ref="X2:Z2"/>
  </mergeCells>
  <phoneticPr fontId="1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Moraes</dc:creator>
  <cp:lastModifiedBy>Lucas Moraes</cp:lastModifiedBy>
  <dcterms:created xsi:type="dcterms:W3CDTF">2025-10-06T20:57:26Z</dcterms:created>
  <dcterms:modified xsi:type="dcterms:W3CDTF">2025-10-06T23:52:55Z</dcterms:modified>
</cp:coreProperties>
</file>